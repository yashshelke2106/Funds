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E60D860F-8324-4EBB-ACB6-B4B5407C76F2}" xr6:coauthVersionLast="47" xr6:coauthVersionMax="47" xr10:uidLastSave="{00000000-0000-0000-0000-000000000000}"/>
  <bookViews>
    <workbookView xWindow="-120" yWindow="-120" windowWidth="20730" windowHeight="11040" xr2:uid="{A8DF4553-AF2E-470B-A3EB-EBDFD071BBE8}"/>
  </bookViews>
  <sheets>
    <sheet name="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G73" i="1"/>
  <c r="G74" i="1" s="1"/>
  <c r="F73" i="1"/>
  <c r="G64" i="1"/>
  <c r="G65" i="1" s="1"/>
  <c r="G75" i="1" s="1"/>
  <c r="F64" i="1"/>
  <c r="F65" i="1" s="1"/>
  <c r="F7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<sst xmlns="http://schemas.openxmlformats.org/spreadsheetml/2006/main" count="265" uniqueCount="176">
  <si>
    <t>CANARA ROBECO LARGE CAP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</si>
  <si>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</si>
  <si>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</si>
  <si>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</si>
  <si>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</si>
  <si>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</si>
  <si>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</si>
  <si>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</si>
  <si>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</si>
  <si>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</si>
  <si>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</si>
  <si>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</si>
  <si>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</si>
  <si>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</si>
  <si>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</si>
  <si>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</si>
  <si>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</si>
  <si>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</si>
  <si>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</si>
  <si>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</si>
  <si>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</si>
  <si>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</si>
  <si>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</si>
  <si>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</si>
  <si>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</si>
  <si>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</si>
  <si>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</si>
  <si>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</si>
  <si>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</si>
  <si>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</si>
  <si>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</si>
  <si>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</si>
  <si>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</si>
  <si>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</si>
  <si>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</si>
  <si>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</si>
  <si>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BSE 100 TRI</t>
  </si>
  <si>
    <t>Mahindra &amp; Mahindra Ltd</t>
  </si>
  <si>
    <t>INE101A01026</t>
  </si>
  <si>
    <t>Automobiles</t>
  </si>
  <si>
    <t>Bajaj Finance Ltd</t>
  </si>
  <si>
    <t>INE296A01032</t>
  </si>
  <si>
    <t>Finance</t>
  </si>
  <si>
    <t>Eternal Ltd</t>
  </si>
  <si>
    <t>INE758T01015</t>
  </si>
  <si>
    <t>Retailing</t>
  </si>
  <si>
    <t>Ultratech Cement Ltd</t>
  </si>
  <si>
    <t>INE481G01011</t>
  </si>
  <si>
    <t>Cement &amp; Cement Products</t>
  </si>
  <si>
    <t>ITC Ltd</t>
  </si>
  <si>
    <t>INE154A01025</t>
  </si>
  <si>
    <t>Diversified Fmcg</t>
  </si>
  <si>
    <t>Axis Bank Ltd</t>
  </si>
  <si>
    <t>INE238A01034</t>
  </si>
  <si>
    <t>Kotak Mahindra Bank Ltd</t>
  </si>
  <si>
    <t>INE237A01028</t>
  </si>
  <si>
    <t>Sun Pharmaceutical Industries Ltd</t>
  </si>
  <si>
    <t>INE044A01036</t>
  </si>
  <si>
    <t>Pharmaceuticals &amp; Biotechnology</t>
  </si>
  <si>
    <t>Bharat Electronics Ltd</t>
  </si>
  <si>
    <t>INE263A01024</t>
  </si>
  <si>
    <t>Aerospace &amp; Defense</t>
  </si>
  <si>
    <t>NTPC Ltd</t>
  </si>
  <si>
    <t>INE733E01010</t>
  </si>
  <si>
    <t>Power</t>
  </si>
  <si>
    <t>Maruti Suzuki India Ltd</t>
  </si>
  <si>
    <t>INE585B01010</t>
  </si>
  <si>
    <t>Tata Consultancy Services Ltd</t>
  </si>
  <si>
    <t>INE467B01029</t>
  </si>
  <si>
    <t>Interglobe Aviation Ltd</t>
  </si>
  <si>
    <t>INE646L01027</t>
  </si>
  <si>
    <t>Transport Services</t>
  </si>
  <si>
    <t>Tata Consumer Products Ltd</t>
  </si>
  <si>
    <t>INE192A01025</t>
  </si>
  <si>
    <t>Agricultural Food &amp; Other Products</t>
  </si>
  <si>
    <t>Mankind Pharma Ltd</t>
  </si>
  <si>
    <t>INE634S01028</t>
  </si>
  <si>
    <t>Indian Hotels Co Ltd</t>
  </si>
  <si>
    <t>INE053A01029</t>
  </si>
  <si>
    <t>Leisure Services</t>
  </si>
  <si>
    <t>Titan Co Ltd</t>
  </si>
  <si>
    <t>INE280A01028</t>
  </si>
  <si>
    <t>Consumer Durables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</si>
  <si>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</si>
  <si>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</si>
  <si>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</si>
  <si>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</si>
  <si>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</si>
  <si>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</si>
  <si>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Tech Mahindra Ltd</t>
  </si>
  <si>
    <t>INE669C01036</t>
  </si>
  <si>
    <t>Cholamandalam Investment and Finance Co Ltd</t>
  </si>
  <si>
    <t>INE121A01024</t>
  </si>
  <si>
    <t>Varun Beverages Ltd</t>
  </si>
  <si>
    <t>INE200M01039</t>
  </si>
  <si>
    <t>Beverages</t>
  </si>
  <si>
    <t>CG Power and Industrial Solutions Ltd</t>
  </si>
  <si>
    <t>INE067A01029</t>
  </si>
  <si>
    <t>Electrical Equipment</t>
  </si>
  <si>
    <t>PB Fintech Ltd</t>
  </si>
  <si>
    <t>INE417T01026</t>
  </si>
  <si>
    <t>Financial Technology (Fintech)</t>
  </si>
  <si>
    <t>Mid Cap</t>
  </si>
  <si>
    <t>United Spirits Ltd</t>
  </si>
  <si>
    <t>INE854D01024</t>
  </si>
  <si>
    <t>Divi's Laboratories Ltd</t>
  </si>
  <si>
    <t>INE361B01024</t>
  </si>
  <si>
    <t>PI Industries Ltd</t>
  </si>
  <si>
    <t>INE603J01030</t>
  </si>
  <si>
    <t>Fertilizers &amp; Agrochemicals</t>
  </si>
  <si>
    <t>Hindustan Unilever Ltd</t>
  </si>
  <si>
    <t>INE030A01027</t>
  </si>
  <si>
    <t>Tata Power Co Ltd</t>
  </si>
  <si>
    <t>INE245A01021</t>
  </si>
  <si>
    <t>Torrent Pharmaceuticals Ltd</t>
  </si>
  <si>
    <t>INE685A01028</t>
  </si>
  <si>
    <t>Trent Ltd</t>
  </si>
  <si>
    <t>INE849A01020</t>
  </si>
  <si>
    <t>Hindustan Aeronautics Ltd</t>
  </si>
  <si>
    <t>INE066F01020</t>
  </si>
  <si>
    <t>Uno Minda Ltd</t>
  </si>
  <si>
    <t>INE405E01023</t>
  </si>
  <si>
    <t>Auto Components</t>
  </si>
  <si>
    <t>Bajaj Auto Ltd</t>
  </si>
  <si>
    <t>INE917I01010</t>
  </si>
  <si>
    <t>Samvardhana Motherson International Ltd</t>
  </si>
  <si>
    <t>INE775A01035</t>
  </si>
  <si>
    <t>HCL Technologies Ltd</t>
  </si>
  <si>
    <t>INE860A01027</t>
  </si>
  <si>
    <t>Hindalco Industries Ltd</t>
  </si>
  <si>
    <t>INE038A01020</t>
  </si>
  <si>
    <t>Non - Ferrous Metals</t>
  </si>
  <si>
    <t>Avenue Supermarts Ltd</t>
  </si>
  <si>
    <t>INE192R01011</t>
  </si>
  <si>
    <t>TVS Motor Co Ltd</t>
  </si>
  <si>
    <t>INE494B01023</t>
  </si>
  <si>
    <t>Abbott India Ltd</t>
  </si>
  <si>
    <t>INE358A01014</t>
  </si>
  <si>
    <t>Power Finance Corporation Ltd</t>
  </si>
  <si>
    <t>INE134E01011</t>
  </si>
  <si>
    <t>Info Edge (India) Ltd</t>
  </si>
  <si>
    <t>INE663F01032</t>
  </si>
  <si>
    <t>SRF Ltd</t>
  </si>
  <si>
    <t>INE647A01010</t>
  </si>
  <si>
    <t>Chemicals &amp; Petrochemicals</t>
  </si>
  <si>
    <t>Oberoi Realty Ltd</t>
  </si>
  <si>
    <t>INE093I01010</t>
  </si>
  <si>
    <t>Realty</t>
  </si>
  <si>
    <t>Tata Steel Ltd</t>
  </si>
  <si>
    <t>INE081A01020</t>
  </si>
  <si>
    <t>Ferrous Metals</t>
  </si>
  <si>
    <t>NTPC Green Energy Ltd</t>
  </si>
  <si>
    <t>INE0ONG01011</t>
  </si>
  <si>
    <t>ICICI Lombard General Insurance Co Ltd</t>
  </si>
  <si>
    <t>INE765G01017</t>
  </si>
  <si>
    <t>Cipla Ltd</t>
  </si>
  <si>
    <t>INE059A01026</t>
  </si>
  <si>
    <t>Page Industries Ltd</t>
  </si>
  <si>
    <t>INE761H01022</t>
  </si>
  <si>
    <t>Textiles &amp; Apparels</t>
  </si>
  <si>
    <t>Sona Blw Precision Forgings Ltd</t>
  </si>
  <si>
    <t>INE073K01018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</si>
  <si>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</si>
  <si>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</si>
  <si>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</si>
  <si>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</si>
  <si>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</si>
  <si>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</si>
  <si>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</si>
  <si>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</si>
  <si>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</si>
  <si>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** Non Traded Security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</si>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</sst>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5" fontId="10" fillId="3" borderId="22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443C-0216-4001-84AD-1196F733BE2D}">
  <dimension ref="B1:N84"/>
  <sheetViews>
    <sheetView tabSelected="1" workbookViewId="0">
      <selection activeCell="B4" sqref="B4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16402512</v>
      </c>
      <c r="F7" s="20">
        <v>155987.89000000001</v>
      </c>
      <c r="G7" s="20">
        <v>9.4499999999999993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10100600</v>
      </c>
      <c r="F8" s="20">
        <v>136156.09</v>
      </c>
      <c r="G8" s="20">
        <v>8.24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6491500</v>
      </c>
      <c r="F9" s="20">
        <v>88544.06</v>
      </c>
      <c r="G9" s="20">
        <v>5.36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4609142</v>
      </c>
      <c r="F10" s="20">
        <v>66454.61</v>
      </c>
      <c r="G10" s="20">
        <v>4.0199999999999996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3520316</v>
      </c>
      <c r="F11" s="20">
        <v>66125.62</v>
      </c>
      <c r="G11" s="20">
        <v>4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1732992</v>
      </c>
      <c r="F12" s="20">
        <v>63410.18</v>
      </c>
      <c r="G12" s="20">
        <v>3.84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18</v>
      </c>
      <c r="E13" s="23">
        <v>7252795</v>
      </c>
      <c r="F13" s="20">
        <v>63277.01</v>
      </c>
      <c r="G13" s="20">
        <v>3.83</v>
      </c>
      <c r="H13" s="20" t="s">
        <v>19</v>
      </c>
      <c r="I13" s="20"/>
      <c r="K13" s="25"/>
      <c r="L13" s="26" t="s">
        <v>36</v>
      </c>
      <c r="M13" s="25"/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1643515</v>
      </c>
      <c r="F14" s="20">
        <v>56323.26</v>
      </c>
      <c r="G14" s="20">
        <v>3.41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4909340</v>
      </c>
      <c r="F15" s="20">
        <v>49039.4</v>
      </c>
      <c r="G15" s="20">
        <v>2.97</v>
      </c>
      <c r="H15" s="20" t="s">
        <v>19</v>
      </c>
      <c r="I15" s="20"/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14490000</v>
      </c>
      <c r="F16" s="20">
        <v>47164.95</v>
      </c>
      <c r="G16" s="20">
        <v>2.86</v>
      </c>
      <c r="H16" s="20" t="s">
        <v>19</v>
      </c>
      <c r="I16" s="20"/>
    </row>
    <row r="17" spans="2:9" x14ac:dyDescent="0.2">
      <c r="B17" s="22" t="s">
        <v>46</v>
      </c>
      <c r="C17" s="19" t="s">
        <v>47</v>
      </c>
      <c r="D17" s="19" t="s">
        <v>48</v>
      </c>
      <c r="E17" s="23">
        <v>356152</v>
      </c>
      <c r="F17" s="20">
        <v>43528.9</v>
      </c>
      <c r="G17" s="20">
        <v>2.64</v>
      </c>
      <c r="H17" s="20" t="s">
        <v>19</v>
      </c>
      <c r="I17" s="20"/>
    </row>
    <row r="18" spans="2:9" x14ac:dyDescent="0.2">
      <c r="B18" s="22" t="s">
        <v>49</v>
      </c>
      <c r="C18" s="19" t="s">
        <v>50</v>
      </c>
      <c r="D18" s="19" t="s">
        <v>51</v>
      </c>
      <c r="E18" s="23">
        <v>9700000</v>
      </c>
      <c r="F18" s="20">
        <v>38950.35</v>
      </c>
      <c r="G18" s="20">
        <v>2.36</v>
      </c>
      <c r="H18" s="20" t="s">
        <v>19</v>
      </c>
      <c r="I18" s="20"/>
    </row>
    <row r="19" spans="2:9" x14ac:dyDescent="0.2">
      <c r="B19" s="22" t="s">
        <v>52</v>
      </c>
      <c r="C19" s="19" t="s">
        <v>53</v>
      </c>
      <c r="D19" s="19" t="s">
        <v>18</v>
      </c>
      <c r="E19" s="23">
        <v>3434200</v>
      </c>
      <c r="F19" s="20">
        <v>38861.410000000003</v>
      </c>
      <c r="G19" s="20">
        <v>2.35</v>
      </c>
      <c r="H19" s="20" t="s">
        <v>19</v>
      </c>
      <c r="I19" s="20"/>
    </row>
    <row r="20" spans="2:9" x14ac:dyDescent="0.2">
      <c r="B20" s="22" t="s">
        <v>54</v>
      </c>
      <c r="C20" s="19" t="s">
        <v>55</v>
      </c>
      <c r="D20" s="19" t="s">
        <v>18</v>
      </c>
      <c r="E20" s="23">
        <v>1758750</v>
      </c>
      <c r="F20" s="20">
        <v>35046.61</v>
      </c>
      <c r="G20" s="20">
        <v>2.12</v>
      </c>
      <c r="H20" s="20" t="s">
        <v>19</v>
      </c>
      <c r="I20" s="20"/>
    </row>
    <row r="21" spans="2:9" x14ac:dyDescent="0.2">
      <c r="B21" s="22" t="s">
        <v>56</v>
      </c>
      <c r="C21" s="19" t="s">
        <v>57</v>
      </c>
      <c r="D21" s="19" t="s">
        <v>58</v>
      </c>
      <c r="E21" s="23">
        <v>1919500</v>
      </c>
      <c r="F21" s="20">
        <v>30602.59</v>
      </c>
      <c r="G21" s="20">
        <v>1.85</v>
      </c>
      <c r="H21" s="20" t="s">
        <v>19</v>
      </c>
      <c r="I21" s="20"/>
    </row>
    <row r="22" spans="2:9" x14ac:dyDescent="0.2">
      <c r="B22" s="22" t="s">
        <v>59</v>
      </c>
      <c r="C22" s="19" t="s">
        <v>60</v>
      </c>
      <c r="D22" s="19" t="s">
        <v>61</v>
      </c>
      <c r="E22" s="23">
        <v>7400000</v>
      </c>
      <c r="F22" s="20">
        <v>29892.3</v>
      </c>
      <c r="G22" s="20">
        <v>1.81</v>
      </c>
      <c r="H22" s="20" t="s">
        <v>19</v>
      </c>
      <c r="I22" s="20"/>
    </row>
    <row r="23" spans="2:9" x14ac:dyDescent="0.2">
      <c r="B23" s="22" t="s">
        <v>62</v>
      </c>
      <c r="C23" s="19" t="s">
        <v>63</v>
      </c>
      <c r="D23" s="19" t="s">
        <v>64</v>
      </c>
      <c r="E23" s="23">
        <v>8100000</v>
      </c>
      <c r="F23" s="20">
        <v>27576.45</v>
      </c>
      <c r="G23" s="20">
        <v>1.67</v>
      </c>
      <c r="H23" s="20" t="s">
        <v>19</v>
      </c>
      <c r="I23" s="20"/>
    </row>
    <row r="24" spans="2:9" x14ac:dyDescent="0.2">
      <c r="B24" s="22" t="s">
        <v>65</v>
      </c>
      <c r="C24" s="19" t="s">
        <v>66</v>
      </c>
      <c r="D24" s="19" t="s">
        <v>39</v>
      </c>
      <c r="E24" s="23">
        <v>169650</v>
      </c>
      <c r="F24" s="20">
        <v>27193.200000000001</v>
      </c>
      <c r="G24" s="20">
        <v>1.65</v>
      </c>
      <c r="H24" s="20" t="s">
        <v>19</v>
      </c>
      <c r="I24" s="20"/>
    </row>
    <row r="25" spans="2:9" x14ac:dyDescent="0.2">
      <c r="B25" s="22" t="s">
        <v>67</v>
      </c>
      <c r="C25" s="19" t="s">
        <v>68</v>
      </c>
      <c r="D25" s="19" t="s">
        <v>27</v>
      </c>
      <c r="E25" s="23">
        <v>901982</v>
      </c>
      <c r="F25" s="20">
        <v>26052.85</v>
      </c>
      <c r="G25" s="20">
        <v>1.58</v>
      </c>
      <c r="H25" s="20" t="s">
        <v>19</v>
      </c>
      <c r="I25" s="20"/>
    </row>
    <row r="26" spans="2:9" x14ac:dyDescent="0.2">
      <c r="B26" s="22" t="s">
        <v>69</v>
      </c>
      <c r="C26" s="19" t="s">
        <v>70</v>
      </c>
      <c r="D26" s="19" t="s">
        <v>71</v>
      </c>
      <c r="E26" s="23">
        <v>441117</v>
      </c>
      <c r="F26" s="20">
        <v>24678.29</v>
      </c>
      <c r="G26" s="20">
        <v>1.49</v>
      </c>
      <c r="H26" s="20" t="s">
        <v>19</v>
      </c>
      <c r="I26" s="20"/>
    </row>
    <row r="27" spans="2:9" x14ac:dyDescent="0.2">
      <c r="B27" s="22" t="s">
        <v>72</v>
      </c>
      <c r="C27" s="19" t="s">
        <v>73</v>
      </c>
      <c r="D27" s="19" t="s">
        <v>74</v>
      </c>
      <c r="E27" s="23">
        <v>2159162</v>
      </c>
      <c r="F27" s="20">
        <v>24383.42</v>
      </c>
      <c r="G27" s="20">
        <v>1.48</v>
      </c>
      <c r="H27" s="20" t="s">
        <v>19</v>
      </c>
      <c r="I27" s="20"/>
    </row>
    <row r="28" spans="2:9" x14ac:dyDescent="0.2">
      <c r="B28" s="22" t="s">
        <v>75</v>
      </c>
      <c r="C28" s="19" t="s">
        <v>76</v>
      </c>
      <c r="D28" s="19" t="s">
        <v>58</v>
      </c>
      <c r="E28" s="23">
        <v>914097</v>
      </c>
      <c r="F28" s="20">
        <v>22264.66</v>
      </c>
      <c r="G28" s="20">
        <v>1.35</v>
      </c>
      <c r="H28" s="20" t="s">
        <v>19</v>
      </c>
      <c r="I28" s="20"/>
    </row>
    <row r="29" spans="2:9" x14ac:dyDescent="0.2">
      <c r="B29" s="22" t="s">
        <v>77</v>
      </c>
      <c r="C29" s="19" t="s">
        <v>78</v>
      </c>
      <c r="D29" s="19" t="s">
        <v>79</v>
      </c>
      <c r="E29" s="23">
        <v>3074480</v>
      </c>
      <c r="F29" s="20">
        <v>22145.48</v>
      </c>
      <c r="G29" s="20">
        <v>1.34</v>
      </c>
      <c r="H29" s="20" t="s">
        <v>19</v>
      </c>
      <c r="I29" s="20"/>
    </row>
    <row r="30" spans="2:9" x14ac:dyDescent="0.2">
      <c r="B30" s="22" t="s">
        <v>80</v>
      </c>
      <c r="C30" s="19" t="s">
        <v>81</v>
      </c>
      <c r="D30" s="19" t="s">
        <v>82</v>
      </c>
      <c r="E30" s="23">
        <v>648050</v>
      </c>
      <c r="F30" s="20">
        <v>21819.84</v>
      </c>
      <c r="G30" s="20">
        <v>1.32</v>
      </c>
      <c r="H30" s="20" t="s">
        <v>19</v>
      </c>
      <c r="I30" s="20"/>
    </row>
    <row r="31" spans="2:9" x14ac:dyDescent="0.2">
      <c r="B31" s="22" t="s">
        <v>83</v>
      </c>
      <c r="C31" s="19" t="s">
        <v>84</v>
      </c>
      <c r="D31" s="19" t="s">
        <v>85</v>
      </c>
      <c r="E31" s="23">
        <v>1209651</v>
      </c>
      <c r="F31" s="20">
        <v>21660.01</v>
      </c>
      <c r="G31" s="20">
        <v>1.31</v>
      </c>
      <c r="H31" s="20" t="s">
        <v>19</v>
      </c>
      <c r="I31" s="20"/>
    </row>
    <row r="32" spans="2:9" x14ac:dyDescent="0.2">
      <c r="B32" s="22" t="s">
        <v>86</v>
      </c>
      <c r="C32" s="19" t="s">
        <v>87</v>
      </c>
      <c r="D32" s="19" t="s">
        <v>88</v>
      </c>
      <c r="E32" s="23">
        <v>1938101</v>
      </c>
      <c r="F32" s="20">
        <v>21604.01</v>
      </c>
      <c r="G32" s="20">
        <v>1.31</v>
      </c>
      <c r="H32" s="20" t="s">
        <v>19</v>
      </c>
      <c r="I32" s="20"/>
    </row>
    <row r="33" spans="2:9" x14ac:dyDescent="0.2">
      <c r="B33" s="22" t="s">
        <v>89</v>
      </c>
      <c r="C33" s="19" t="s">
        <v>90</v>
      </c>
      <c r="D33" s="19" t="s">
        <v>27</v>
      </c>
      <c r="E33" s="23">
        <v>1500000</v>
      </c>
      <c r="F33" s="20">
        <v>21004.5</v>
      </c>
      <c r="G33" s="20">
        <v>1.27</v>
      </c>
      <c r="H33" s="20" t="s">
        <v>19</v>
      </c>
      <c r="I33" s="20"/>
    </row>
    <row r="34" spans="2:9" x14ac:dyDescent="0.2">
      <c r="B34" s="22" t="s">
        <v>91</v>
      </c>
      <c r="C34" s="19" t="s">
        <v>92</v>
      </c>
      <c r="D34" s="19" t="s">
        <v>42</v>
      </c>
      <c r="E34" s="23">
        <v>1242021</v>
      </c>
      <c r="F34" s="20">
        <v>20006.47</v>
      </c>
      <c r="G34" s="20">
        <v>1.21</v>
      </c>
      <c r="H34" s="20" t="s">
        <v>19</v>
      </c>
      <c r="I34" s="20"/>
    </row>
    <row r="35" spans="2:9" x14ac:dyDescent="0.2">
      <c r="B35" s="22" t="s">
        <v>93</v>
      </c>
      <c r="C35" s="19" t="s">
        <v>94</v>
      </c>
      <c r="D35" s="19" t="s">
        <v>95</v>
      </c>
      <c r="E35" s="23">
        <v>4396703</v>
      </c>
      <c r="F35" s="20">
        <v>19508.169999999998</v>
      </c>
      <c r="G35" s="20">
        <v>1.18</v>
      </c>
      <c r="H35" s="20" t="s">
        <v>19</v>
      </c>
      <c r="I35" s="20"/>
    </row>
    <row r="36" spans="2:9" x14ac:dyDescent="0.2">
      <c r="B36" s="22" t="s">
        <v>96</v>
      </c>
      <c r="C36" s="19" t="s">
        <v>97</v>
      </c>
      <c r="D36" s="19" t="s">
        <v>98</v>
      </c>
      <c r="E36" s="23">
        <v>2356433</v>
      </c>
      <c r="F36" s="20">
        <v>17459.990000000002</v>
      </c>
      <c r="G36" s="20">
        <v>1.06</v>
      </c>
      <c r="H36" s="20" t="s">
        <v>19</v>
      </c>
      <c r="I36" s="20"/>
    </row>
    <row r="37" spans="2:9" x14ac:dyDescent="0.2">
      <c r="B37" s="22" t="s">
        <v>99</v>
      </c>
      <c r="C37" s="19" t="s">
        <v>100</v>
      </c>
      <c r="D37" s="19" t="s">
        <v>101</v>
      </c>
      <c r="E37" s="23">
        <v>1003481</v>
      </c>
      <c r="F37" s="20">
        <v>17079.25</v>
      </c>
      <c r="G37" s="20">
        <v>1.03</v>
      </c>
      <c r="H37" s="20" t="s">
        <v>102</v>
      </c>
      <c r="I37" s="20"/>
    </row>
    <row r="38" spans="2:9" x14ac:dyDescent="0.2">
      <c r="B38" s="22" t="s">
        <v>103</v>
      </c>
      <c r="C38" s="19" t="s">
        <v>104</v>
      </c>
      <c r="D38" s="19" t="s">
        <v>95</v>
      </c>
      <c r="E38" s="23">
        <v>1245000</v>
      </c>
      <c r="F38" s="20">
        <v>16487.54</v>
      </c>
      <c r="G38" s="20">
        <v>1</v>
      </c>
      <c r="H38" s="20" t="s">
        <v>19</v>
      </c>
      <c r="I38" s="20"/>
    </row>
    <row r="39" spans="2:9" x14ac:dyDescent="0.2">
      <c r="B39" s="22" t="s">
        <v>105</v>
      </c>
      <c r="C39" s="19" t="s">
        <v>106</v>
      </c>
      <c r="D39" s="19" t="s">
        <v>58</v>
      </c>
      <c r="E39" s="23">
        <v>288065</v>
      </c>
      <c r="F39" s="20">
        <v>16389.46</v>
      </c>
      <c r="G39" s="20">
        <v>0.99</v>
      </c>
      <c r="H39" s="20" t="s">
        <v>19</v>
      </c>
      <c r="I39" s="20"/>
    </row>
    <row r="40" spans="2:9" x14ac:dyDescent="0.2">
      <c r="B40" s="22" t="s">
        <v>107</v>
      </c>
      <c r="C40" s="19" t="s">
        <v>108</v>
      </c>
      <c r="D40" s="19" t="s">
        <v>109</v>
      </c>
      <c r="E40" s="23">
        <v>458952</v>
      </c>
      <c r="F40" s="20">
        <v>16125.28</v>
      </c>
      <c r="G40" s="20">
        <v>0.98</v>
      </c>
      <c r="H40" s="20" t="s">
        <v>102</v>
      </c>
      <c r="I40" s="20"/>
    </row>
    <row r="41" spans="2:9" x14ac:dyDescent="0.2">
      <c r="B41" s="22" t="s">
        <v>110</v>
      </c>
      <c r="C41" s="19" t="s">
        <v>111</v>
      </c>
      <c r="D41" s="19" t="s">
        <v>51</v>
      </c>
      <c r="E41" s="23">
        <v>622800</v>
      </c>
      <c r="F41" s="20">
        <v>15659.68</v>
      </c>
      <c r="G41" s="20">
        <v>0.95</v>
      </c>
      <c r="H41" s="20" t="s">
        <v>19</v>
      </c>
      <c r="I41" s="20"/>
    </row>
    <row r="42" spans="2:9" x14ac:dyDescent="0.2">
      <c r="B42" s="22" t="s">
        <v>112</v>
      </c>
      <c r="C42" s="19" t="s">
        <v>113</v>
      </c>
      <c r="D42" s="19" t="s">
        <v>64</v>
      </c>
      <c r="E42" s="23">
        <v>3850000</v>
      </c>
      <c r="F42" s="20">
        <v>14963.03</v>
      </c>
      <c r="G42" s="20">
        <v>0.91</v>
      </c>
      <c r="H42" s="20" t="s">
        <v>19</v>
      </c>
      <c r="I42" s="20"/>
    </row>
    <row r="43" spans="2:9" x14ac:dyDescent="0.2">
      <c r="B43" s="22" t="s">
        <v>114</v>
      </c>
      <c r="C43" s="19" t="s">
        <v>115</v>
      </c>
      <c r="D43" s="19" t="s">
        <v>58</v>
      </c>
      <c r="E43" s="23">
        <v>407164</v>
      </c>
      <c r="F43" s="20">
        <v>14670.93</v>
      </c>
      <c r="G43" s="20">
        <v>0.89</v>
      </c>
      <c r="H43" s="20" t="s">
        <v>19</v>
      </c>
      <c r="I43" s="20"/>
    </row>
    <row r="44" spans="2:9" x14ac:dyDescent="0.2">
      <c r="B44" s="22" t="s">
        <v>116</v>
      </c>
      <c r="C44" s="19" t="s">
        <v>117</v>
      </c>
      <c r="D44" s="19" t="s">
        <v>45</v>
      </c>
      <c r="E44" s="23">
        <v>311697</v>
      </c>
      <c r="F44" s="20">
        <v>14579.63</v>
      </c>
      <c r="G44" s="20">
        <v>0.88</v>
      </c>
      <c r="H44" s="20" t="s">
        <v>19</v>
      </c>
      <c r="I44" s="20"/>
    </row>
    <row r="45" spans="2:9" x14ac:dyDescent="0.2">
      <c r="B45" s="22" t="s">
        <v>118</v>
      </c>
      <c r="C45" s="19" t="s">
        <v>119</v>
      </c>
      <c r="D45" s="19" t="s">
        <v>61</v>
      </c>
      <c r="E45" s="23">
        <v>299000</v>
      </c>
      <c r="F45" s="20">
        <v>14192.04</v>
      </c>
      <c r="G45" s="20">
        <v>0.86</v>
      </c>
      <c r="H45" s="20" t="s">
        <v>19</v>
      </c>
      <c r="I45" s="20"/>
    </row>
    <row r="46" spans="2:9" x14ac:dyDescent="0.2">
      <c r="B46" s="22" t="s">
        <v>120</v>
      </c>
      <c r="C46" s="19" t="s">
        <v>121</v>
      </c>
      <c r="D46" s="19" t="s">
        <v>122</v>
      </c>
      <c r="E46" s="23">
        <v>1087531</v>
      </c>
      <c r="F46" s="20">
        <v>14124.85</v>
      </c>
      <c r="G46" s="20">
        <v>0.86</v>
      </c>
      <c r="H46" s="20" t="s">
        <v>102</v>
      </c>
      <c r="I46" s="20"/>
    </row>
    <row r="47" spans="2:9" x14ac:dyDescent="0.2">
      <c r="B47" s="22" t="s">
        <v>123</v>
      </c>
      <c r="C47" s="19" t="s">
        <v>124</v>
      </c>
      <c r="D47" s="19" t="s">
        <v>39</v>
      </c>
      <c r="E47" s="23">
        <v>153881</v>
      </c>
      <c r="F47" s="20">
        <v>13354.56</v>
      </c>
      <c r="G47" s="20">
        <v>0.81</v>
      </c>
      <c r="H47" s="20" t="s">
        <v>19</v>
      </c>
      <c r="I47" s="20"/>
    </row>
    <row r="48" spans="2:9" x14ac:dyDescent="0.2">
      <c r="B48" s="22" t="s">
        <v>125</v>
      </c>
      <c r="C48" s="19" t="s">
        <v>126</v>
      </c>
      <c r="D48" s="19" t="s">
        <v>122</v>
      </c>
      <c r="E48" s="23">
        <v>10875000</v>
      </c>
      <c r="F48" s="20">
        <v>11489.44</v>
      </c>
      <c r="G48" s="20">
        <v>0.7</v>
      </c>
      <c r="H48" s="20" t="s">
        <v>19</v>
      </c>
      <c r="I48" s="20"/>
    </row>
    <row r="49" spans="2:10" x14ac:dyDescent="0.2">
      <c r="B49" s="22" t="s">
        <v>127</v>
      </c>
      <c r="C49" s="19" t="s">
        <v>128</v>
      </c>
      <c r="D49" s="19" t="s">
        <v>27</v>
      </c>
      <c r="E49" s="23">
        <v>790422</v>
      </c>
      <c r="F49" s="20">
        <v>10948.14</v>
      </c>
      <c r="G49" s="20">
        <v>0.66</v>
      </c>
      <c r="H49" s="20" t="s">
        <v>19</v>
      </c>
      <c r="I49" s="20"/>
    </row>
    <row r="50" spans="2:10" x14ac:dyDescent="0.2">
      <c r="B50" s="22" t="s">
        <v>129</v>
      </c>
      <c r="C50" s="19" t="s">
        <v>130</v>
      </c>
      <c r="D50" s="19" t="s">
        <v>131</v>
      </c>
      <c r="E50" s="23">
        <v>1376000</v>
      </c>
      <c r="F50" s="20">
        <v>10484.43</v>
      </c>
      <c r="G50" s="20">
        <v>0.63</v>
      </c>
      <c r="H50" s="20" t="s">
        <v>19</v>
      </c>
      <c r="I50" s="20"/>
    </row>
    <row r="51" spans="2:10" x14ac:dyDescent="0.2">
      <c r="B51" s="22" t="s">
        <v>132</v>
      </c>
      <c r="C51" s="19" t="s">
        <v>133</v>
      </c>
      <c r="D51" s="19" t="s">
        <v>45</v>
      </c>
      <c r="E51" s="23">
        <v>226854</v>
      </c>
      <c r="F51" s="20">
        <v>10152.620000000001</v>
      </c>
      <c r="G51" s="20">
        <v>0.61</v>
      </c>
      <c r="H51" s="20" t="s">
        <v>19</v>
      </c>
      <c r="I51" s="20"/>
    </row>
    <row r="52" spans="2:10" x14ac:dyDescent="0.2">
      <c r="B52" s="22" t="s">
        <v>134</v>
      </c>
      <c r="C52" s="19" t="s">
        <v>135</v>
      </c>
      <c r="D52" s="19" t="s">
        <v>39</v>
      </c>
      <c r="E52" s="23">
        <v>275000</v>
      </c>
      <c r="F52" s="20">
        <v>9456.43</v>
      </c>
      <c r="G52" s="20">
        <v>0.56999999999999995</v>
      </c>
      <c r="H52" s="20" t="s">
        <v>19</v>
      </c>
      <c r="I52" s="20"/>
    </row>
    <row r="53" spans="2:10" x14ac:dyDescent="0.2">
      <c r="B53" s="22" t="s">
        <v>136</v>
      </c>
      <c r="C53" s="19" t="s">
        <v>137</v>
      </c>
      <c r="D53" s="19" t="s">
        <v>58</v>
      </c>
      <c r="E53" s="23">
        <v>31701</v>
      </c>
      <c r="F53" s="20">
        <v>9285.2199999999993</v>
      </c>
      <c r="G53" s="20">
        <v>0.56000000000000005</v>
      </c>
      <c r="H53" s="20" t="s">
        <v>102</v>
      </c>
      <c r="I53" s="20"/>
    </row>
    <row r="54" spans="2:10" x14ac:dyDescent="0.2">
      <c r="B54" s="22" t="s">
        <v>138</v>
      </c>
      <c r="C54" s="19" t="s">
        <v>139</v>
      </c>
      <c r="D54" s="19" t="s">
        <v>42</v>
      </c>
      <c r="E54" s="23">
        <v>2183787</v>
      </c>
      <c r="F54" s="20">
        <v>8958.99</v>
      </c>
      <c r="G54" s="20">
        <v>0.54</v>
      </c>
      <c r="H54" s="20" t="s">
        <v>19</v>
      </c>
      <c r="I54" s="20"/>
    </row>
    <row r="55" spans="2:10" x14ac:dyDescent="0.2">
      <c r="B55" s="22" t="s">
        <v>140</v>
      </c>
      <c r="C55" s="19" t="s">
        <v>141</v>
      </c>
      <c r="D55" s="19" t="s">
        <v>45</v>
      </c>
      <c r="E55" s="23">
        <v>577298</v>
      </c>
      <c r="F55" s="20">
        <v>7558.56</v>
      </c>
      <c r="G55" s="20">
        <v>0.46</v>
      </c>
      <c r="H55" s="20" t="s">
        <v>19</v>
      </c>
      <c r="I55" s="20"/>
    </row>
    <row r="56" spans="2:10" x14ac:dyDescent="0.2">
      <c r="B56" s="22" t="s">
        <v>142</v>
      </c>
      <c r="C56" s="19" t="s">
        <v>143</v>
      </c>
      <c r="D56" s="19" t="s">
        <v>144</v>
      </c>
      <c r="E56" s="23">
        <v>248140</v>
      </c>
      <c r="F56" s="20">
        <v>7006.48</v>
      </c>
      <c r="G56" s="20">
        <v>0.42</v>
      </c>
      <c r="H56" s="20" t="s">
        <v>102</v>
      </c>
      <c r="I56" s="20"/>
    </row>
    <row r="57" spans="2:10" x14ac:dyDescent="0.2">
      <c r="B57" s="22" t="s">
        <v>145</v>
      </c>
      <c r="C57" s="19" t="s">
        <v>146</v>
      </c>
      <c r="D57" s="19" t="s">
        <v>147</v>
      </c>
      <c r="E57" s="23">
        <v>430000</v>
      </c>
      <c r="F57" s="20">
        <v>6803.03</v>
      </c>
      <c r="G57" s="20">
        <v>0.41</v>
      </c>
      <c r="H57" s="20" t="s">
        <v>102</v>
      </c>
      <c r="I57" s="20"/>
    </row>
    <row r="58" spans="2:10" x14ac:dyDescent="0.2">
      <c r="B58" s="22" t="s">
        <v>148</v>
      </c>
      <c r="C58" s="19" t="s">
        <v>149</v>
      </c>
      <c r="D58" s="19" t="s">
        <v>150</v>
      </c>
      <c r="E58" s="23">
        <v>3050000</v>
      </c>
      <c r="F58" s="20">
        <v>5147.49</v>
      </c>
      <c r="G58" s="20">
        <v>0.31</v>
      </c>
      <c r="H58" s="20" t="s">
        <v>19</v>
      </c>
      <c r="I58" s="20"/>
    </row>
    <row r="59" spans="2:10" x14ac:dyDescent="0.2">
      <c r="B59" s="22" t="s">
        <v>151</v>
      </c>
      <c r="C59" s="19" t="s">
        <v>152</v>
      </c>
      <c r="D59" s="19" t="s">
        <v>64</v>
      </c>
      <c r="E59" s="23">
        <v>4562694</v>
      </c>
      <c r="F59" s="20">
        <v>4435.3900000000003</v>
      </c>
      <c r="G59" s="20">
        <v>0.27</v>
      </c>
      <c r="H59" s="20" t="s">
        <v>102</v>
      </c>
      <c r="I59" s="20"/>
    </row>
    <row r="60" spans="2:10" x14ac:dyDescent="0.2">
      <c r="B60" s="22" t="s">
        <v>153</v>
      </c>
      <c r="C60" s="19" t="s">
        <v>154</v>
      </c>
      <c r="D60" s="19" t="s">
        <v>85</v>
      </c>
      <c r="E60" s="23">
        <v>178024</v>
      </c>
      <c r="F60" s="20">
        <v>3364.3</v>
      </c>
      <c r="G60" s="20">
        <v>0.2</v>
      </c>
      <c r="H60" s="20" t="s">
        <v>102</v>
      </c>
      <c r="I60" s="20"/>
    </row>
    <row r="61" spans="2:10" x14ac:dyDescent="0.2">
      <c r="B61" s="22" t="s">
        <v>155</v>
      </c>
      <c r="C61" s="19" t="s">
        <v>156</v>
      </c>
      <c r="D61" s="19" t="s">
        <v>58</v>
      </c>
      <c r="E61" s="23">
        <v>75117</v>
      </c>
      <c r="F61" s="20">
        <v>1129.23</v>
      </c>
      <c r="G61" s="20">
        <v>7.0000000000000007E-2</v>
      </c>
      <c r="H61" s="20" t="s">
        <v>19</v>
      </c>
      <c r="I61" s="20"/>
    </row>
    <row r="62" spans="2:10" x14ac:dyDescent="0.2">
      <c r="B62" s="22" t="s">
        <v>157</v>
      </c>
      <c r="C62" s="19" t="s">
        <v>158</v>
      </c>
      <c r="D62" s="19" t="s">
        <v>159</v>
      </c>
      <c r="E62" s="23">
        <v>2601</v>
      </c>
      <c r="F62" s="20">
        <v>1058.22</v>
      </c>
      <c r="G62" s="20">
        <v>0.06</v>
      </c>
      <c r="H62" s="20" t="s">
        <v>102</v>
      </c>
      <c r="I62" s="20"/>
    </row>
    <row r="63" spans="2:10" x14ac:dyDescent="0.2">
      <c r="B63" s="22" t="s">
        <v>160</v>
      </c>
      <c r="C63" s="19" t="s">
        <v>161</v>
      </c>
      <c r="D63" s="19" t="s">
        <v>122</v>
      </c>
      <c r="E63" s="23">
        <v>181413</v>
      </c>
      <c r="F63" s="20">
        <v>746.97</v>
      </c>
      <c r="G63" s="20">
        <v>0.05</v>
      </c>
      <c r="H63" s="20" t="s">
        <v>102</v>
      </c>
      <c r="I63" s="20"/>
    </row>
    <row r="64" spans="2:10" x14ac:dyDescent="0.2">
      <c r="B64" s="27" t="s">
        <v>162</v>
      </c>
      <c r="C64" s="28"/>
      <c r="D64" s="28"/>
      <c r="E64" s="28"/>
      <c r="F64" s="29">
        <f>SUM(F7:F63)</f>
        <v>1602373.7599999995</v>
      </c>
      <c r="G64" s="29">
        <f>SUM(G7:G63)</f>
        <v>97.009999999999962</v>
      </c>
      <c r="H64" s="29"/>
      <c r="I64" s="29"/>
      <c r="J64" s="30"/>
    </row>
    <row r="65" spans="2:10" x14ac:dyDescent="0.2">
      <c r="B65" s="31" t="s">
        <v>163</v>
      </c>
      <c r="C65" s="31"/>
      <c r="D65" s="31"/>
      <c r="E65" s="31"/>
      <c r="F65" s="32">
        <f>F64</f>
        <v>1602373.7599999995</v>
      </c>
      <c r="G65" s="32">
        <f>G64</f>
        <v>97.009999999999962</v>
      </c>
      <c r="H65" s="33"/>
      <c r="I65" s="33"/>
      <c r="J65" s="30"/>
    </row>
    <row r="66" spans="2:10" x14ac:dyDescent="0.2">
      <c r="B66" s="34" t="s">
        <v>164</v>
      </c>
      <c r="C66" s="15"/>
      <c r="D66" s="15"/>
      <c r="E66" s="15"/>
      <c r="F66" s="16"/>
      <c r="G66" s="16"/>
      <c r="H66" s="16"/>
      <c r="I66" s="16"/>
      <c r="J66" s="30"/>
    </row>
    <row r="67" spans="2:10" x14ac:dyDescent="0.2">
      <c r="B67" s="35" t="s">
        <v>15</v>
      </c>
      <c r="C67" s="19"/>
      <c r="D67" s="19"/>
      <c r="E67" s="19"/>
      <c r="F67" s="20"/>
      <c r="G67" s="20"/>
      <c r="H67" s="20"/>
      <c r="I67" s="20"/>
      <c r="J67" s="30"/>
    </row>
    <row r="68" spans="2:10" x14ac:dyDescent="0.2">
      <c r="B68" s="19" t="s">
        <v>165</v>
      </c>
      <c r="C68" s="19" t="s">
        <v>166</v>
      </c>
      <c r="D68" s="19" t="s">
        <v>167</v>
      </c>
      <c r="E68" s="23">
        <v>1100000</v>
      </c>
      <c r="F68" s="20">
        <v>110.47</v>
      </c>
      <c r="G68" s="20">
        <v>0.01</v>
      </c>
      <c r="H68" s="20"/>
      <c r="I68" s="20">
        <v>6.05</v>
      </c>
      <c r="J68" s="30"/>
    </row>
    <row r="69" spans="2:10" x14ac:dyDescent="0.2">
      <c r="B69" s="28" t="s">
        <v>162</v>
      </c>
      <c r="C69" s="28"/>
      <c r="D69" s="28"/>
      <c r="E69" s="28"/>
      <c r="F69" s="29">
        <v>110.47</v>
      </c>
      <c r="G69" s="29">
        <v>0.01</v>
      </c>
      <c r="H69" s="29"/>
      <c r="I69" s="29"/>
      <c r="J69" s="30"/>
    </row>
    <row r="70" spans="2:10" x14ac:dyDescent="0.2">
      <c r="B70" s="36" t="s">
        <v>163</v>
      </c>
      <c r="C70" s="36"/>
      <c r="D70" s="36"/>
      <c r="E70" s="36"/>
      <c r="F70" s="32">
        <v>110.47</v>
      </c>
      <c r="G70" s="32">
        <v>0.01</v>
      </c>
      <c r="H70" s="33"/>
      <c r="I70" s="33"/>
      <c r="J70" s="30"/>
    </row>
    <row r="71" spans="2:10" x14ac:dyDescent="0.2">
      <c r="B71" s="37" t="s">
        <v>168</v>
      </c>
      <c r="C71" s="38"/>
      <c r="D71" s="38"/>
      <c r="E71" s="38"/>
      <c r="F71" s="39"/>
      <c r="G71" s="39"/>
      <c r="H71" s="39"/>
      <c r="I71" s="39"/>
    </row>
    <row r="72" spans="2:10" x14ac:dyDescent="0.2">
      <c r="B72" s="22" t="s">
        <v>168</v>
      </c>
      <c r="C72" s="19"/>
      <c r="D72" s="19"/>
      <c r="E72" s="19"/>
      <c r="F72" s="20">
        <v>49358.94</v>
      </c>
      <c r="G72" s="20">
        <v>2.99</v>
      </c>
      <c r="H72" s="20"/>
      <c r="I72" s="20"/>
    </row>
    <row r="73" spans="2:10" x14ac:dyDescent="0.2">
      <c r="B73" s="27" t="s">
        <v>162</v>
      </c>
      <c r="C73" s="28"/>
      <c r="D73" s="28"/>
      <c r="E73" s="28"/>
      <c r="F73" s="29">
        <f>SUM(F71:F72)</f>
        <v>49358.94</v>
      </c>
      <c r="G73" s="29">
        <f>SUM(G71:G72)</f>
        <v>2.99</v>
      </c>
      <c r="H73" s="40"/>
      <c r="I73" s="40"/>
      <c r="J73" s="30"/>
    </row>
    <row r="74" spans="2:10" x14ac:dyDescent="0.2">
      <c r="B74" s="41" t="s">
        <v>163</v>
      </c>
      <c r="C74" s="41"/>
      <c r="D74" s="41"/>
      <c r="E74" s="41"/>
      <c r="F74" s="42">
        <f>F73</f>
        <v>49358.94</v>
      </c>
      <c r="G74" s="42">
        <f>G73</f>
        <v>2.99</v>
      </c>
      <c r="H74" s="42"/>
      <c r="I74" s="42"/>
      <c r="J74" s="30"/>
    </row>
    <row r="75" spans="2:10" x14ac:dyDescent="0.2">
      <c r="B75" s="43" t="s">
        <v>169</v>
      </c>
      <c r="C75" s="43"/>
      <c r="D75" s="43"/>
      <c r="E75" s="43"/>
      <c r="F75" s="44">
        <f>F76-(+F65+F74+F70)</f>
        <v>-376.53999999957159</v>
      </c>
      <c r="G75" s="44">
        <f>G76-(+G65+G74+G70)</f>
        <v>-9.9999999999624833E-3</v>
      </c>
      <c r="H75" s="44"/>
      <c r="I75" s="44"/>
      <c r="J75" s="30"/>
    </row>
    <row r="76" spans="2:10" x14ac:dyDescent="0.2">
      <c r="B76" s="43" t="s">
        <v>170</v>
      </c>
      <c r="C76" s="43"/>
      <c r="D76" s="43"/>
      <c r="E76" s="43"/>
      <c r="F76" s="44">
        <v>1651466.63</v>
      </c>
      <c r="G76" s="44">
        <v>100</v>
      </c>
      <c r="H76" s="44"/>
      <c r="I76" s="44"/>
      <c r="J76" s="30"/>
    </row>
    <row r="78" spans="2:10" x14ac:dyDescent="0.2">
      <c r="B78" s="30" t="s">
        <v>171</v>
      </c>
    </row>
    <row r="79" spans="2:10" ht="12.75" thickBot="1" x14ac:dyDescent="0.25">
      <c r="B79" s="30"/>
    </row>
    <row r="80" spans="2:10" ht="13.5" thickTop="1" thickBot="1" x14ac:dyDescent="0.25">
      <c r="B80" s="45" t="s">
        <v>172</v>
      </c>
      <c r="C80" s="46" t="s">
        <v>173</v>
      </c>
    </row>
    <row r="81" spans="2:2" ht="12.75" thickTop="1" x14ac:dyDescent="0.2"/>
    <row r="82" spans="2:2" x14ac:dyDescent="0.2">
      <c r="B82" s="30" t="s">
        <v>174</v>
      </c>
    </row>
    <row r="84" spans="2:2" ht="15" x14ac:dyDescent="0.25">
      <c r="B84" s="47" t="s">
        <v>175</v>
      </c>
    </row>
  </sheetData>
  <mergeCells count="5">
    <mergeCell ref="B1:I1"/>
    <mergeCell ref="K5:K12"/>
    <mergeCell ref="L5:L12"/>
    <mergeCell ref="M5:M12"/>
    <mergeCell ref="N5:N12"/>
  </mergeCells>
  <hyperlinks>
    <hyperlink ref="B84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45F54BF9-7626-4E0D-B67F-EB9F4045FE71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11:48:41</KDate>
  <Classification>MIS Internal</Classification>
  <Subclassification/>
  <HostName>MUMCMP01323</HostName>
  <Domain_User>CANARAROBECOMF/628</Domain_User>
  <IPAdd>192.9.198.196</IPAdd>
  <FilePath>Book6</FilePath>
  <KID>109819A0F0A5638956073211792256</KID>
  <UniqueName/>
  <Suggested/>
  <Justification/>
</Klassify>
</file>

<file path=customXml/itemProps1.xml><?xml version="1.0" encoding="utf-8"?>
<ds:datastoreItem xmlns:ds="http://schemas.openxmlformats.org/officeDocument/2006/customXml" ds:itemID="{27B137EB-7A2C-4D95-87EF-192FBAAB45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2025-10-09T06:18:39Z</dcterms:created>
  <dcterms:modified xsi:type="dcterms:W3CDTF">2025-10-09T06:18:41Z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109819A0F0A5638956073211792256</vt:lpwstr>
  </property>
</Properties>
</file>